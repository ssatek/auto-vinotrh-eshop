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bos/Library/Mobile Documents/com~apple~CloudDocs/001 ZWG/"/>
    </mc:Choice>
  </mc:AlternateContent>
  <xr:revisionPtr revIDLastSave="0" documentId="13_ncr:1_{7B0176C3-05F0-B341-BC86-AD0F36CCAC0D}" xr6:coauthVersionLast="47" xr6:coauthVersionMax="47" xr10:uidLastSave="{00000000-0000-0000-0000-000000000000}"/>
  <bookViews>
    <workbookView xWindow="3700" yWindow="2860" windowWidth="22540" windowHeight="20060" xr2:uid="{BE74C81E-B39B-2840-8CF0-AA94125D1EF3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1" l="1"/>
  <c r="H14" i="1" s="1"/>
  <c r="E8" i="1"/>
  <c r="H8" i="1" s="1"/>
  <c r="H9" i="1"/>
  <c r="H10" i="1"/>
  <c r="H17" i="1"/>
  <c r="H18" i="1"/>
  <c r="H21" i="1"/>
  <c r="E3" i="1"/>
  <c r="G4" i="1"/>
  <c r="G5" i="1"/>
  <c r="G6" i="1"/>
  <c r="G7" i="1"/>
  <c r="G8" i="1"/>
  <c r="G9" i="1"/>
  <c r="G10" i="1"/>
  <c r="G11" i="1"/>
  <c r="H11" i="1" s="1"/>
  <c r="G12" i="1"/>
  <c r="G13" i="1"/>
  <c r="H13" i="1" s="1"/>
  <c r="G15" i="1"/>
  <c r="H15" i="1" s="1"/>
  <c r="G16" i="1"/>
  <c r="H16" i="1" s="1"/>
  <c r="G17" i="1"/>
  <c r="G18" i="1"/>
  <c r="G21" i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3" i="1"/>
  <c r="H33" i="1" s="1"/>
  <c r="G34" i="1"/>
  <c r="H34" i="1" s="1"/>
  <c r="G3" i="1"/>
  <c r="E7" i="1"/>
  <c r="H7" i="1" s="1"/>
  <c r="E6" i="1"/>
  <c r="E5" i="1"/>
  <c r="E4" i="1"/>
  <c r="H3" i="1" l="1"/>
  <c r="H6" i="1"/>
  <c r="H4" i="1"/>
  <c r="H5" i="1"/>
</calcChain>
</file>

<file path=xl/sharedStrings.xml><?xml version="1.0" encoding="utf-8"?>
<sst xmlns="http://schemas.openxmlformats.org/spreadsheetml/2006/main" count="31" uniqueCount="28">
  <si>
    <t>NÁPOJE</t>
  </si>
  <si>
    <t>PRODEJ S DPH</t>
  </si>
  <si>
    <t>Pivo 11%</t>
  </si>
  <si>
    <t>Pivo 8%</t>
  </si>
  <si>
    <t>Limo</t>
  </si>
  <si>
    <t>hroznová limonáda</t>
  </si>
  <si>
    <t>meruňková limonáda</t>
  </si>
  <si>
    <t>Voda pet</t>
  </si>
  <si>
    <t>Aperol spritz</t>
  </si>
  <si>
    <t>Limoncelo</t>
  </si>
  <si>
    <t>Italicus spritz</t>
  </si>
  <si>
    <t>Hugo</t>
  </si>
  <si>
    <t>Cuba libre</t>
  </si>
  <si>
    <t>Prosecco</t>
  </si>
  <si>
    <t>KÁVA</t>
  </si>
  <si>
    <t>Espresso,Luongo</t>
  </si>
  <si>
    <t>Espresso dopio</t>
  </si>
  <si>
    <t>Cappuccino</t>
  </si>
  <si>
    <t>Latte macchiato</t>
  </si>
  <si>
    <t>Flat white</t>
  </si>
  <si>
    <t>Affogato</t>
  </si>
  <si>
    <t>ledová káva</t>
  </si>
  <si>
    <t>zmrzlina kopeček</t>
  </si>
  <si>
    <t>kelímek</t>
  </si>
  <si>
    <t>NÁKUP BEZ DPH</t>
  </si>
  <si>
    <t>PRODEJ BEZ DPH</t>
  </si>
  <si>
    <t>FOOD COST</t>
  </si>
  <si>
    <t>Aperol nealko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</si>
</sst>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2D13-A9F4-7F43-8237-ADE8605F8E8C}">
  <dimension ref="A1:H34"/>
  <sheetViews>
    <sheetView tabSelected="1" workbookViewId="0">
      <selection activeCell="B18" sqref="B18"/>
    </sheetView>
  </sheetViews>
  <sheetFormatPr baseColWidth="10" defaultRowHeight="16" x14ac:dyDescent="0.2"/>
  <cols>
    <col min="2" max="2" width="19" customWidth="1"/>
    <col min="3" max="3" width="10.83203125" hidden="1" customWidth="1"/>
    <col min="4" max="4" width="6" hidden="1" customWidth="1"/>
    <col min="5" max="5" width="19.33203125" customWidth="1"/>
    <col min="6" max="6" width="13" bestFit="1" customWidth="1"/>
    <col min="7" max="7" width="15.1640625" bestFit="1" customWidth="1"/>
    <col min="8" max="8" width="15.6640625" bestFit="1" customWidth="1"/>
  </cols>
  <sheetData>
    <row r="1" spans="1:8" x14ac:dyDescent="0.2">
      <c r="A1" s="1" t="s">
        <v>0</v>
      </c>
      <c r="E1" s="3" t="s">
        <v>24</v>
      </c>
      <c r="F1" s="4" t="s">
        <v>1</v>
      </c>
      <c r="G1" s="3" t="s">
        <v>25</v>
      </c>
      <c r="H1" s="3" t="s">
        <v>26</v>
      </c>
    </row>
    <row r="2" spans="1:8" x14ac:dyDescent="0.2">
      <c r="E2" s="3"/>
      <c r="F2" s="4"/>
      <c r="G2" s="3"/>
      <c r="H2" s="3"/>
    </row>
    <row r="3" spans="1:8" x14ac:dyDescent="0.2">
      <c r="A3">
        <v>0.5</v>
      </c>
      <c r="B3" s="2" t="s">
        <v>2</v>
      </c>
      <c r="C3">
        <v>30</v>
      </c>
      <c r="D3">
        <v>1240</v>
      </c>
      <c r="E3" s="5">
        <f>D3/60</f>
        <v>20.666666666666668</v>
      </c>
      <c r="F3" s="4">
        <v>50</v>
      </c>
      <c r="G3" s="5">
        <f>F3/1.21</f>
        <v>41.32231404958678</v>
      </c>
      <c r="H3" s="6">
        <f>E3/G3</f>
        <v>0.50013333333333332</v>
      </c>
    </row>
    <row r="4" spans="1:8" x14ac:dyDescent="0.2">
      <c r="A4">
        <v>0.3</v>
      </c>
      <c r="B4" t="s">
        <v>2</v>
      </c>
      <c r="E4" s="5">
        <f>D3/(3000/30)</f>
        <v>12.4</v>
      </c>
      <c r="F4" s="4">
        <v>40</v>
      </c>
      <c r="G4" s="5">
        <f t="shared" ref="G4:G34" si="0">F4/1.21</f>
        <v>33.057851239669425</v>
      </c>
      <c r="H4" s="6">
        <f t="shared" ref="H4:H34" si="1">E4/G4</f>
        <v>0.37509999999999999</v>
      </c>
    </row>
    <row r="5" spans="1:8" x14ac:dyDescent="0.2">
      <c r="A5">
        <v>0.5</v>
      </c>
      <c r="B5" t="s">
        <v>3</v>
      </c>
      <c r="C5">
        <v>30</v>
      </c>
      <c r="D5">
        <v>1091</v>
      </c>
      <c r="E5" s="5">
        <f>D5/60</f>
        <v>18.183333333333334</v>
      </c>
      <c r="F5" s="4">
        <v>50</v>
      </c>
      <c r="G5" s="5">
        <f t="shared" si="0"/>
        <v>41.32231404958678</v>
      </c>
      <c r="H5" s="6">
        <f t="shared" si="1"/>
        <v>0.44003666666666663</v>
      </c>
    </row>
    <row r="6" spans="1:8" x14ac:dyDescent="0.2">
      <c r="A6">
        <v>0.3</v>
      </c>
      <c r="B6" t="s">
        <v>3</v>
      </c>
      <c r="E6" s="5">
        <f>D5/(3000/30)</f>
        <v>10.91</v>
      </c>
      <c r="F6" s="4">
        <v>35</v>
      </c>
      <c r="G6" s="5">
        <f t="shared" si="0"/>
        <v>28.925619834710744</v>
      </c>
      <c r="H6" s="6">
        <f t="shared" si="1"/>
        <v>0.37717428571428574</v>
      </c>
    </row>
    <row r="7" spans="1:8" x14ac:dyDescent="0.2">
      <c r="A7">
        <v>0.5</v>
      </c>
      <c r="B7" t="s">
        <v>4</v>
      </c>
      <c r="C7">
        <v>30</v>
      </c>
      <c r="D7">
        <v>694</v>
      </c>
      <c r="E7" s="5">
        <f>D7/60</f>
        <v>11.566666666666666</v>
      </c>
      <c r="F7" s="4">
        <v>50</v>
      </c>
      <c r="G7" s="5">
        <f t="shared" si="0"/>
        <v>41.32231404958678</v>
      </c>
      <c r="H7" s="6">
        <f t="shared" si="1"/>
        <v>0.27991333333333329</v>
      </c>
    </row>
    <row r="8" spans="1:8" x14ac:dyDescent="0.2">
      <c r="A8">
        <v>0.3</v>
      </c>
      <c r="B8" t="s">
        <v>4</v>
      </c>
      <c r="E8" s="3">
        <f>D7/(3000/30)</f>
        <v>6.94</v>
      </c>
      <c r="F8" s="4">
        <v>40</v>
      </c>
      <c r="G8" s="5">
        <f t="shared" si="0"/>
        <v>33.057851239669425</v>
      </c>
      <c r="H8" s="6">
        <f t="shared" si="1"/>
        <v>0.20993499999999998</v>
      </c>
    </row>
    <row r="9" spans="1:8" x14ac:dyDescent="0.2">
      <c r="A9">
        <v>0.4</v>
      </c>
      <c r="B9" t="s">
        <v>5</v>
      </c>
      <c r="E9" s="3">
        <v>20</v>
      </c>
      <c r="F9" s="4">
        <v>70</v>
      </c>
      <c r="G9" s="5">
        <f t="shared" si="0"/>
        <v>57.851239669421489</v>
      </c>
      <c r="H9" s="6">
        <f t="shared" si="1"/>
        <v>0.3457142857142857</v>
      </c>
    </row>
    <row r="10" spans="1:8" x14ac:dyDescent="0.2">
      <c r="A10">
        <v>0.4</v>
      </c>
      <c r="B10" t="s">
        <v>6</v>
      </c>
      <c r="E10" s="3">
        <v>30</v>
      </c>
      <c r="F10" s="4">
        <v>90</v>
      </c>
      <c r="G10" s="5">
        <f t="shared" si="0"/>
        <v>74.380165289256198</v>
      </c>
      <c r="H10" s="6">
        <f t="shared" si="1"/>
        <v>0.40333333333333332</v>
      </c>
    </row>
    <row r="11" spans="1:8" x14ac:dyDescent="0.2">
      <c r="A11">
        <v>0.5</v>
      </c>
      <c r="B11" t="s">
        <v>7</v>
      </c>
      <c r="E11" s="3">
        <v>6.2</v>
      </c>
      <c r="F11" s="4">
        <v>30</v>
      </c>
      <c r="G11" s="5">
        <f t="shared" si="0"/>
        <v>24.793388429752067</v>
      </c>
      <c r="H11" s="6">
        <f t="shared" si="1"/>
        <v>0.25006666666666666</v>
      </c>
    </row>
    <row r="12" spans="1:8" x14ac:dyDescent="0.2">
      <c r="E12" s="3"/>
      <c r="F12" s="4"/>
      <c r="G12" s="5">
        <f t="shared" si="0"/>
        <v>0</v>
      </c>
      <c r="H12" s="6"/>
    </row>
    <row r="13" spans="1:8" x14ac:dyDescent="0.2">
      <c r="B13" t="s">
        <v>8</v>
      </c>
      <c r="E13" s="3">
        <v>36</v>
      </c>
      <c r="F13" s="4">
        <v>120</v>
      </c>
      <c r="G13" s="5">
        <f t="shared" si="0"/>
        <v>99.173553719008268</v>
      </c>
      <c r="H13" s="6">
        <f t="shared" si="1"/>
        <v>0.36299999999999999</v>
      </c>
    </row>
    <row r="14" spans="1:8" x14ac:dyDescent="0.2">
      <c r="B14" t="s">
        <v>27</v>
      </c>
      <c r="E14" s="3">
        <v>36</v>
      </c>
      <c r="F14" s="4">
        <v>120</v>
      </c>
      <c r="G14" s="5">
        <f t="shared" si="0"/>
        <v>99.173553719008268</v>
      </c>
      <c r="H14" s="6">
        <f t="shared" ref="H14" si="2">E14/G14</f>
        <v>0.36299999999999999</v>
      </c>
    </row>
    <row r="15" spans="1:8" x14ac:dyDescent="0.2">
      <c r="B15" t="s">
        <v>9</v>
      </c>
      <c r="E15" s="3">
        <v>36</v>
      </c>
      <c r="F15" s="4">
        <v>120</v>
      </c>
      <c r="G15" s="5">
        <f t="shared" si="0"/>
        <v>99.173553719008268</v>
      </c>
      <c r="H15" s="6">
        <f t="shared" si="1"/>
        <v>0.36299999999999999</v>
      </c>
    </row>
    <row r="16" spans="1:8" x14ac:dyDescent="0.2">
      <c r="B16" t="s">
        <v>10</v>
      </c>
      <c r="E16" s="3">
        <v>50</v>
      </c>
      <c r="F16" s="4">
        <v>120</v>
      </c>
      <c r="G16" s="5">
        <f t="shared" si="0"/>
        <v>99.173553719008268</v>
      </c>
      <c r="H16" s="6">
        <f t="shared" si="1"/>
        <v>0.50416666666666665</v>
      </c>
    </row>
    <row r="17" spans="1:8" x14ac:dyDescent="0.2">
      <c r="B17" t="s">
        <v>11</v>
      </c>
      <c r="E17" s="3">
        <v>25</v>
      </c>
      <c r="F17" s="4">
        <v>100</v>
      </c>
      <c r="G17" s="5">
        <f t="shared" si="0"/>
        <v>82.644628099173559</v>
      </c>
      <c r="H17" s="6">
        <f t="shared" si="1"/>
        <v>0.30249999999999999</v>
      </c>
    </row>
    <row r="18" spans="1:8" x14ac:dyDescent="0.2">
      <c r="B18" t="s">
        <v>12</v>
      </c>
      <c r="E18" s="3">
        <v>30</v>
      </c>
      <c r="F18" s="4">
        <v>100</v>
      </c>
      <c r="G18" s="5">
        <f t="shared" si="0"/>
        <v>82.644628099173559</v>
      </c>
      <c r="H18" s="6">
        <f t="shared" si="1"/>
        <v>0.36299999999999999</v>
      </c>
    </row>
    <row r="19" spans="1:8" x14ac:dyDescent="0.2">
      <c r="E19" s="3"/>
      <c r="F19" s="4"/>
      <c r="G19" s="5"/>
      <c r="H19" s="6"/>
    </row>
    <row r="20" spans="1:8" x14ac:dyDescent="0.2">
      <c r="E20" s="3"/>
      <c r="F20" s="4"/>
      <c r="G20" s="5"/>
      <c r="H20" s="6"/>
    </row>
    <row r="21" spans="1:8" x14ac:dyDescent="0.2">
      <c r="A21">
        <v>0.1</v>
      </c>
      <c r="B21" t="s">
        <v>13</v>
      </c>
      <c r="E21" s="3">
        <v>15</v>
      </c>
      <c r="F21" s="4">
        <v>50</v>
      </c>
      <c r="G21" s="5">
        <f t="shared" si="0"/>
        <v>41.32231404958678</v>
      </c>
      <c r="H21" s="6">
        <f t="shared" si="1"/>
        <v>0.36299999999999999</v>
      </c>
    </row>
    <row r="22" spans="1:8" x14ac:dyDescent="0.2">
      <c r="A22" s="1" t="s">
        <v>14</v>
      </c>
      <c r="E22" s="3"/>
      <c r="F22" s="4"/>
      <c r="G22" s="5"/>
      <c r="H22" s="6"/>
    </row>
    <row r="23" spans="1:8" x14ac:dyDescent="0.2">
      <c r="E23" s="3"/>
      <c r="F23" s="4"/>
      <c r="G23" s="5"/>
      <c r="H23" s="6"/>
    </row>
    <row r="24" spans="1:8" x14ac:dyDescent="0.2">
      <c r="B24" t="s">
        <v>15</v>
      </c>
      <c r="E24" s="3">
        <v>4.5</v>
      </c>
      <c r="F24" s="4">
        <v>60</v>
      </c>
      <c r="G24" s="5">
        <f t="shared" si="0"/>
        <v>49.586776859504134</v>
      </c>
      <c r="H24" s="6">
        <f t="shared" si="1"/>
        <v>9.0749999999999997E-2</v>
      </c>
    </row>
    <row r="25" spans="1:8" x14ac:dyDescent="0.2">
      <c r="A25" s="1"/>
      <c r="B25" t="s">
        <v>16</v>
      </c>
      <c r="E25" s="3">
        <v>9</v>
      </c>
      <c r="F25" s="4">
        <v>95</v>
      </c>
      <c r="G25" s="5">
        <f t="shared" si="0"/>
        <v>78.512396694214885</v>
      </c>
      <c r="H25" s="6">
        <f t="shared" si="1"/>
        <v>0.1146315789473684</v>
      </c>
    </row>
    <row r="26" spans="1:8" x14ac:dyDescent="0.2">
      <c r="B26" t="s">
        <v>17</v>
      </c>
      <c r="E26" s="3">
        <v>5</v>
      </c>
      <c r="F26" s="4">
        <v>70</v>
      </c>
      <c r="G26" s="5">
        <f t="shared" si="0"/>
        <v>57.851239669421489</v>
      </c>
      <c r="H26" s="6">
        <f t="shared" si="1"/>
        <v>8.6428571428571424E-2</v>
      </c>
    </row>
    <row r="27" spans="1:8" x14ac:dyDescent="0.2">
      <c r="B27" t="s">
        <v>18</v>
      </c>
      <c r="E27" s="3">
        <v>5</v>
      </c>
      <c r="F27" s="4">
        <v>75</v>
      </c>
      <c r="G27" s="5">
        <f t="shared" si="0"/>
        <v>61.983471074380169</v>
      </c>
      <c r="H27" s="6">
        <f t="shared" si="1"/>
        <v>8.0666666666666664E-2</v>
      </c>
    </row>
    <row r="28" spans="1:8" x14ac:dyDescent="0.2">
      <c r="B28" t="s">
        <v>19</v>
      </c>
      <c r="E28" s="3">
        <v>9</v>
      </c>
      <c r="F28" s="4">
        <v>90</v>
      </c>
      <c r="G28" s="5">
        <f t="shared" si="0"/>
        <v>74.380165289256198</v>
      </c>
      <c r="H28" s="6">
        <f t="shared" si="1"/>
        <v>0.121</v>
      </c>
    </row>
    <row r="29" spans="1:8" x14ac:dyDescent="0.2">
      <c r="B29" t="s">
        <v>20</v>
      </c>
      <c r="E29" s="3">
        <v>15</v>
      </c>
      <c r="F29" s="4">
        <v>95</v>
      </c>
      <c r="G29" s="5">
        <f t="shared" si="0"/>
        <v>78.512396694214885</v>
      </c>
      <c r="H29" s="6">
        <f t="shared" si="1"/>
        <v>0.19105263157894734</v>
      </c>
    </row>
    <row r="30" spans="1:8" x14ac:dyDescent="0.2">
      <c r="B30" t="s">
        <v>21</v>
      </c>
      <c r="E30" s="3">
        <v>5</v>
      </c>
      <c r="F30" s="4">
        <v>65</v>
      </c>
      <c r="G30" s="5">
        <f t="shared" si="0"/>
        <v>53.719008264462815</v>
      </c>
      <c r="H30" s="6">
        <f t="shared" si="1"/>
        <v>9.3076923076923071E-2</v>
      </c>
    </row>
    <row r="31" spans="1:8" x14ac:dyDescent="0.2">
      <c r="E31" s="3"/>
      <c r="F31" s="4"/>
      <c r="G31" s="5"/>
      <c r="H31" s="6"/>
    </row>
    <row r="32" spans="1:8" x14ac:dyDescent="0.2">
      <c r="E32" s="3"/>
      <c r="F32" s="4"/>
      <c r="G32" s="5"/>
      <c r="H32" s="6"/>
    </row>
    <row r="33" spans="2:8" x14ac:dyDescent="0.2">
      <c r="B33" t="s">
        <v>22</v>
      </c>
      <c r="E33" s="3"/>
      <c r="F33" s="4">
        <v>30</v>
      </c>
      <c r="G33" s="5">
        <f t="shared" si="0"/>
        <v>24.793388429752067</v>
      </c>
      <c r="H33" s="6">
        <f t="shared" si="1"/>
        <v>0</v>
      </c>
    </row>
    <row r="34" spans="2:8" x14ac:dyDescent="0.2">
      <c r="B34" t="s">
        <v>23</v>
      </c>
      <c r="E34" s="3"/>
      <c r="F34" s="4">
        <v>5</v>
      </c>
      <c r="G34" s="5">
        <f t="shared" si="0"/>
        <v>4.1322314049586781</v>
      </c>
      <c r="H34" s="6">
        <f t="shared" si="1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Lubos Dolezal</dc:creator>
  <cp:lastModifiedBy>Lubos Dolezal</cp:lastModifiedBy>
  <dcterms:created xsi:type="dcterms:W3CDTF">2026-05-25T10:44:24Z</dcterms:created>
  <dcterms:modified xsi:type="dcterms:W3CDTF">2026-05-25T10:54:20Z</dcterms:modified>
</cp:coreProperties>
</file>